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xuebin_chen_siemens_com/Documents/Digitalization/Rev Margin Analysis/"/>
    </mc:Choice>
  </mc:AlternateContent>
  <xr:revisionPtr revIDLastSave="0" documentId="8_{8382EC35-8B8D-4F25-88A6-F5C10A1D0580}" xr6:coauthVersionLast="47" xr6:coauthVersionMax="47" xr10:uidLastSave="{00000000-0000-0000-0000-000000000000}"/>
  <bookViews>
    <workbookView xWindow="-10520" yWindow="-21710" windowWidth="38620" windowHeight="21100" xr2:uid="{43481F03-701E-4387-9379-14F538D9CA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34" i="1"/>
  <c r="H32" i="1"/>
  <c r="I33" i="1"/>
  <c r="I34" i="1"/>
  <c r="J33" i="1"/>
  <c r="J34" i="1"/>
  <c r="D24" i="1" l="1"/>
  <c r="E24" i="1"/>
  <c r="F24" i="1"/>
  <c r="F22" i="1" l="1"/>
  <c r="E22" i="1"/>
  <c r="C23" i="1" l="1"/>
  <c r="C24" i="1"/>
  <c r="D23" i="1"/>
  <c r="E23" i="1"/>
  <c r="E25" i="1" s="1"/>
  <c r="F23" i="1"/>
  <c r="F25" i="1" s="1"/>
  <c r="C22" i="1" l="1"/>
  <c r="C25" i="1" s="1"/>
  <c r="G23" i="1"/>
  <c r="G24" i="1"/>
  <c r="E11" i="1"/>
  <c r="E10" i="1"/>
  <c r="E9" i="1"/>
  <c r="E3" i="1"/>
  <c r="E4" i="1"/>
  <c r="E2" i="1"/>
  <c r="E32" i="1" l="1"/>
  <c r="E34" i="1"/>
  <c r="E33" i="1"/>
  <c r="E35" i="1" l="1"/>
  <c r="E38" i="1"/>
  <c r="F12" i="1"/>
  <c r="I11" i="1"/>
  <c r="H11" i="1"/>
  <c r="I10" i="1"/>
  <c r="H10" i="1"/>
  <c r="I9" i="1"/>
  <c r="H9" i="1"/>
  <c r="I4" i="1"/>
  <c r="H4" i="1"/>
  <c r="I3" i="1"/>
  <c r="H3" i="1"/>
  <c r="J3" i="1" l="1"/>
  <c r="J4" i="1"/>
  <c r="D17" i="1"/>
  <c r="C16" i="1"/>
  <c r="J10" i="1"/>
  <c r="G11" i="1"/>
  <c r="C17" i="1"/>
  <c r="I12" i="1"/>
  <c r="E12" i="1" s="1"/>
  <c r="J11" i="1"/>
  <c r="H12" i="1"/>
  <c r="C12" i="1" s="1"/>
  <c r="J9" i="1"/>
  <c r="G10" i="1"/>
  <c r="D16" i="1"/>
  <c r="G9" i="1"/>
  <c r="J12" i="1" l="1"/>
  <c r="E16" i="1"/>
  <c r="E17" i="1"/>
  <c r="D12" i="1"/>
  <c r="G12" i="1"/>
  <c r="F5" i="1" l="1"/>
  <c r="G4" i="1" s="1"/>
  <c r="C28" i="1"/>
  <c r="I2" i="1"/>
  <c r="D22" i="1"/>
  <c r="D25" i="1" s="1"/>
  <c r="F28" i="1"/>
  <c r="E28" i="1"/>
  <c r="H2" i="1"/>
  <c r="D28" i="1" l="1"/>
  <c r="J2" i="1"/>
  <c r="G22" i="1"/>
  <c r="G25" i="1" s="1"/>
  <c r="D15" i="1"/>
  <c r="I5" i="1"/>
  <c r="E5" i="1" s="1"/>
  <c r="G2" i="1"/>
  <c r="G3" i="1"/>
  <c r="C15" i="1"/>
  <c r="H5" i="1"/>
  <c r="C34" i="1"/>
  <c r="D34" i="1"/>
  <c r="C33" i="1" l="1"/>
  <c r="D33" i="1"/>
  <c r="C32" i="1"/>
  <c r="C35" i="1" s="1"/>
  <c r="E15" i="1"/>
  <c r="B28" i="1"/>
  <c r="G28" i="1" s="1"/>
  <c r="D18" i="1"/>
  <c r="B38" i="1"/>
  <c r="D32" i="1"/>
  <c r="D35" i="1" s="1"/>
  <c r="G5" i="1"/>
  <c r="F34" i="1"/>
  <c r="C5" i="1"/>
  <c r="D5" i="1"/>
  <c r="C18" i="1"/>
  <c r="J5" i="1"/>
  <c r="I32" i="1" l="1"/>
  <c r="J32" i="1"/>
  <c r="H35" i="1"/>
  <c r="E18" i="1"/>
  <c r="D38" i="1"/>
  <c r="C38" i="1"/>
  <c r="F32" i="1"/>
  <c r="F33" i="1"/>
  <c r="J35" i="1" l="1"/>
  <c r="I35" i="1"/>
  <c r="F38" i="1"/>
  <c r="F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tc={353D2E40-1616-4E39-9FBD-CE7C6F8DB6ED}</author>
  </authors>
  <commentList>
    <comment ref="D31" authorId="0" shapeId="0" xr:uid="{353D2E40-1616-4E39-9FBD-CE7C6F8DB6ED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+ Mix Effect = Quantity Effect from PCQ</t>
      </text>
    </comment>
  </commentList>
</comments>
</file>

<file path=xl/sharedStrings.xml><?xml version="1.0" encoding="utf-8"?>
<sst xmlns="http://schemas.openxmlformats.org/spreadsheetml/2006/main" count="71" uniqueCount="40">
  <si>
    <t>FY24</t>
  </si>
  <si>
    <t>Product</t>
  </si>
  <si>
    <t>Customer Price</t>
  </si>
  <si>
    <t>Product Cost</t>
  </si>
  <si>
    <t>Margin</t>
  </si>
  <si>
    <t>Quantity</t>
  </si>
  <si>
    <t>Quantity Share</t>
  </si>
  <si>
    <t>Revenue</t>
  </si>
  <si>
    <t>Rev Margin</t>
  </si>
  <si>
    <t>Rev  Margin %</t>
  </si>
  <si>
    <t>A</t>
  </si>
  <si>
    <t>B</t>
  </si>
  <si>
    <t>C</t>
  </si>
  <si>
    <t>Sum</t>
  </si>
  <si>
    <t>FY25</t>
  </si>
  <si>
    <t>Rev Change</t>
  </si>
  <si>
    <t>Rev Margin Change</t>
  </si>
  <si>
    <t>Rev Margin % Change</t>
  </si>
  <si>
    <t>Perspective 1 (PCQ)</t>
  </si>
  <si>
    <t>Price Effect</t>
  </si>
  <si>
    <t>Cost Effect</t>
  </si>
  <si>
    <t>Quantity Effect</t>
  </si>
  <si>
    <t>Cross Term</t>
  </si>
  <si>
    <t>Total</t>
  </si>
  <si>
    <t>FY24 Rev Margin</t>
  </si>
  <si>
    <t>Assume only price changes, quantity and cost unchanged</t>
  </si>
  <si>
    <t>Assume only cost changes, price and quantity unchanged</t>
  </si>
  <si>
    <t>Assume only quantity changes, price and cost unchanged</t>
  </si>
  <si>
    <t>Part of changed revenue margin from changed quantity with changed price cost margin</t>
  </si>
  <si>
    <t>FY25 Rev Margin</t>
  </si>
  <si>
    <t>Perspective 2 (VMM)</t>
  </si>
  <si>
    <t>Volume Effect</t>
  </si>
  <si>
    <t>Mix Effect</t>
  </si>
  <si>
    <t>Margin Effect</t>
  </si>
  <si>
    <t>Assume only quantiy changes, mix and margin remain FY24</t>
  </si>
  <si>
    <t>Assume only quantiy  and mix changes, margin remain FY24</t>
  </si>
  <si>
    <t>Plus Margin changes</t>
  </si>
  <si>
    <t>Structural Optimization Contribution (based on absolute RM deviation to average)</t>
  </si>
  <si>
    <t>Structural Optimization Contribution (based on RM % deviation to average %)</t>
  </si>
  <si>
    <t>Price Structure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</si>
</sst>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en, Xue Bin (DI MC FIN PC 2)" id="{865F0C68-C448-4481-978C-73FAB7EC2959}" userId="S::xuebin.chen@siemens.com::fe21de20-f0ae-4a7c-adda-62da17ce37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1" dT="2025-11-27T19:28:14.04" personId="{865F0C68-C448-4481-978C-73FAB7EC2959}" id="{353D2E40-1616-4E39-9FBD-CE7C6F8DB6ED}">
    <text>Volume + Mix Effect = Quantity Effect from PCQ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1125-1A44-4785-A09A-DD547E275EF3}">
  <dimension ref="A1:K38"/>
  <sheetViews>
    <sheetView tabSelected="1" zoomScaleNormal="100" workbookViewId="0">
      <selection activeCell="K25" sqref="K25"/>
    </sheetView>
  </sheetViews>
  <sheetFormatPr defaultRowHeight="14.4" x14ac:dyDescent="0.3"/>
  <cols>
    <col min="1" max="1" width="18.33203125" bestFit="1" customWidth="1"/>
    <col min="2" max="2" width="28.6640625" bestFit="1" customWidth="1"/>
    <col min="3" max="3" width="18.6640625" bestFit="1" customWidth="1"/>
    <col min="4" max="5" width="16.44140625" bestFit="1" customWidth="1"/>
    <col min="6" max="6" width="18.33203125" bestFit="1" customWidth="1"/>
    <col min="7" max="7" width="15.5546875" customWidth="1"/>
    <col min="8" max="8" width="20.88671875" customWidth="1"/>
    <col min="9" max="9" width="21.33203125" bestFit="1" customWidth="1"/>
    <col min="10" max="10" width="12.6640625" bestFit="1" customWidth="1"/>
    <col min="11" max="11" width="14.5546875" customWidth="1"/>
    <col min="12" max="12" width="17" customWidth="1"/>
    <col min="13" max="13" width="16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20</v>
      </c>
      <c r="D2">
        <v>15</v>
      </c>
      <c r="E2">
        <f>C2-D2</f>
        <v>5</v>
      </c>
      <c r="F2">
        <v>20</v>
      </c>
      <c r="G2" s="1">
        <f>F2/$F$5</f>
        <v>0.26666666666666666</v>
      </c>
      <c r="H2">
        <f>C2*F2</f>
        <v>400</v>
      </c>
      <c r="I2">
        <f>(C2-D2)*F2</f>
        <v>100</v>
      </c>
      <c r="J2" s="1">
        <f>I2/H2</f>
        <v>0.25</v>
      </c>
    </row>
    <row r="3" spans="1:10" x14ac:dyDescent="0.3">
      <c r="B3" t="s">
        <v>11</v>
      </c>
      <c r="C3">
        <v>30</v>
      </c>
      <c r="D3">
        <v>25</v>
      </c>
      <c r="E3">
        <f t="shared" ref="E3:E4" si="0">C3-D3</f>
        <v>5</v>
      </c>
      <c r="F3">
        <v>30</v>
      </c>
      <c r="G3" s="1">
        <f t="shared" ref="G3:G4" si="1">F3/$F$5</f>
        <v>0.4</v>
      </c>
      <c r="H3">
        <f>C3*F3</f>
        <v>900</v>
      </c>
      <c r="I3">
        <f>(C3-D3)*F3</f>
        <v>150</v>
      </c>
      <c r="J3" s="1">
        <f t="shared" ref="J3:J5" si="2">I3/H3</f>
        <v>0.16666666666666666</v>
      </c>
    </row>
    <row r="4" spans="1:10" x14ac:dyDescent="0.3">
      <c r="B4" t="s">
        <v>12</v>
      </c>
      <c r="C4">
        <v>50</v>
      </c>
      <c r="D4">
        <v>30</v>
      </c>
      <c r="E4">
        <f t="shared" si="0"/>
        <v>20</v>
      </c>
      <c r="F4">
        <v>25</v>
      </c>
      <c r="G4" s="1">
        <f t="shared" si="1"/>
        <v>0.33333333333333331</v>
      </c>
      <c r="H4">
        <f>C4*F4</f>
        <v>1250</v>
      </c>
      <c r="I4">
        <f>(C4-D4)*F4</f>
        <v>500</v>
      </c>
      <c r="J4" s="1">
        <f t="shared" si="2"/>
        <v>0.4</v>
      </c>
    </row>
    <row r="5" spans="1:10" x14ac:dyDescent="0.3">
      <c r="B5" t="s">
        <v>13</v>
      </c>
      <c r="C5">
        <f>H5/F5</f>
        <v>34</v>
      </c>
      <c r="D5">
        <f>(H5-I5)/F5</f>
        <v>24</v>
      </c>
      <c r="E5">
        <f>I5/F5</f>
        <v>10</v>
      </c>
      <c r="F5">
        <f>SUM(F2:F4)</f>
        <v>75</v>
      </c>
      <c r="G5" s="1">
        <f>SUM(G2:G4)</f>
        <v>1</v>
      </c>
      <c r="H5">
        <f>SUM(H2:H4)</f>
        <v>2550</v>
      </c>
      <c r="I5">
        <f>SUM(I2:I4)</f>
        <v>750</v>
      </c>
      <c r="J5" s="1">
        <f t="shared" si="2"/>
        <v>0.29411764705882354</v>
      </c>
    </row>
    <row r="8" spans="1:10" x14ac:dyDescent="0.3">
      <c r="A8" t="s">
        <v>14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</row>
    <row r="9" spans="1:10" x14ac:dyDescent="0.3">
      <c r="B9" t="s">
        <v>10</v>
      </c>
      <c r="C9">
        <v>30</v>
      </c>
      <c r="D9">
        <v>20</v>
      </c>
      <c r="E9">
        <f>C9-D9</f>
        <v>10</v>
      </c>
      <c r="F9">
        <v>25</v>
      </c>
      <c r="G9" s="1">
        <f>F9/$F$12</f>
        <v>0.3125</v>
      </c>
      <c r="H9">
        <f>C9*F9</f>
        <v>750</v>
      </c>
      <c r="I9">
        <f>(C9-D9)*F9</f>
        <v>250</v>
      </c>
      <c r="J9" s="1">
        <f>I9/H9</f>
        <v>0.33333333333333331</v>
      </c>
    </row>
    <row r="10" spans="1:10" x14ac:dyDescent="0.3">
      <c r="B10" t="s">
        <v>11</v>
      </c>
      <c r="C10">
        <v>28</v>
      </c>
      <c r="D10">
        <v>20</v>
      </c>
      <c r="E10">
        <f t="shared" ref="E10:E11" si="3">C10-D10</f>
        <v>8</v>
      </c>
      <c r="F10">
        <v>20</v>
      </c>
      <c r="G10" s="1">
        <f t="shared" ref="G10:G11" si="4">F10/$F$12</f>
        <v>0.25</v>
      </c>
      <c r="H10">
        <f>C10*F10</f>
        <v>560</v>
      </c>
      <c r="I10">
        <f>(C10-D10)*F10</f>
        <v>160</v>
      </c>
      <c r="J10" s="1">
        <f t="shared" ref="J10:J12" si="5">I10/H10</f>
        <v>0.2857142857142857</v>
      </c>
    </row>
    <row r="11" spans="1:10" x14ac:dyDescent="0.3">
      <c r="B11" t="s">
        <v>12</v>
      </c>
      <c r="C11">
        <v>45</v>
      </c>
      <c r="D11">
        <v>25</v>
      </c>
      <c r="E11">
        <f t="shared" si="3"/>
        <v>20</v>
      </c>
      <c r="F11">
        <v>35</v>
      </c>
      <c r="G11" s="1">
        <f t="shared" si="4"/>
        <v>0.4375</v>
      </c>
      <c r="H11">
        <f>C11*F11</f>
        <v>1575</v>
      </c>
      <c r="I11">
        <f>(C11-D11)*F11</f>
        <v>700</v>
      </c>
      <c r="J11" s="1">
        <f t="shared" si="5"/>
        <v>0.44444444444444442</v>
      </c>
    </row>
    <row r="12" spans="1:10" x14ac:dyDescent="0.3">
      <c r="B12" t="s">
        <v>13</v>
      </c>
      <c r="C12">
        <f>H12/F12</f>
        <v>36.0625</v>
      </c>
      <c r="D12">
        <f>(H12-I12)/F12</f>
        <v>22.1875</v>
      </c>
      <c r="E12">
        <f>I12/F12</f>
        <v>13.875</v>
      </c>
      <c r="F12">
        <f>SUM(F9:F11)</f>
        <v>80</v>
      </c>
      <c r="G12" s="1">
        <f>SUM(G9:G11)</f>
        <v>1</v>
      </c>
      <c r="H12">
        <f>SUM(H9:H11)</f>
        <v>2885</v>
      </c>
      <c r="I12">
        <f>SUM(I9:I11)</f>
        <v>1110</v>
      </c>
      <c r="J12" s="1">
        <f t="shared" si="5"/>
        <v>0.3847487001733102</v>
      </c>
    </row>
    <row r="14" spans="1:10" x14ac:dyDescent="0.3">
      <c r="B14" t="s">
        <v>1</v>
      </c>
      <c r="C14" t="s">
        <v>15</v>
      </c>
      <c r="D14" t="s">
        <v>16</v>
      </c>
      <c r="E14" t="s">
        <v>17</v>
      </c>
      <c r="H14" s="6"/>
      <c r="I14" s="6"/>
      <c r="J14" s="6"/>
    </row>
    <row r="15" spans="1:10" x14ac:dyDescent="0.3">
      <c r="B15" t="s">
        <v>10</v>
      </c>
      <c r="C15">
        <f t="shared" ref="C15:E18" si="6">H9-H2</f>
        <v>350</v>
      </c>
      <c r="D15">
        <f t="shared" si="6"/>
        <v>150</v>
      </c>
      <c r="E15" s="2">
        <f t="shared" si="6"/>
        <v>8.3333333333333315E-2</v>
      </c>
      <c r="H15" s="5"/>
      <c r="I15" s="5"/>
      <c r="J15" s="5"/>
    </row>
    <row r="16" spans="1:10" x14ac:dyDescent="0.3">
      <c r="B16" t="s">
        <v>11</v>
      </c>
      <c r="C16">
        <f t="shared" si="6"/>
        <v>-340</v>
      </c>
      <c r="D16">
        <f t="shared" si="6"/>
        <v>10</v>
      </c>
      <c r="E16" s="2">
        <f t="shared" si="6"/>
        <v>0.11904761904761904</v>
      </c>
      <c r="H16" s="5"/>
      <c r="I16" s="5"/>
      <c r="J16" s="5"/>
    </row>
    <row r="17" spans="1:11" x14ac:dyDescent="0.3">
      <c r="B17" t="s">
        <v>12</v>
      </c>
      <c r="C17">
        <f t="shared" si="6"/>
        <v>325</v>
      </c>
      <c r="D17">
        <f t="shared" si="6"/>
        <v>200</v>
      </c>
      <c r="E17" s="2">
        <f t="shared" si="6"/>
        <v>4.4444444444444398E-2</v>
      </c>
      <c r="H17" s="5"/>
      <c r="I17" s="5"/>
      <c r="J17" s="5"/>
    </row>
    <row r="18" spans="1:11" x14ac:dyDescent="0.3">
      <c r="B18" t="s">
        <v>13</v>
      </c>
      <c r="C18">
        <f t="shared" si="6"/>
        <v>335</v>
      </c>
      <c r="D18">
        <f t="shared" si="6"/>
        <v>360</v>
      </c>
      <c r="E18" s="2">
        <f t="shared" si="6"/>
        <v>9.0631053114486659E-2</v>
      </c>
      <c r="H18" s="5"/>
      <c r="I18" s="5"/>
      <c r="J18" s="5"/>
    </row>
    <row r="21" spans="1:11" x14ac:dyDescent="0.3">
      <c r="A21" t="s">
        <v>18</v>
      </c>
      <c r="B21" t="s">
        <v>1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</row>
    <row r="22" spans="1:11" x14ac:dyDescent="0.3">
      <c r="B22" t="s">
        <v>10</v>
      </c>
      <c r="C22">
        <f>(C9-C2)*F2</f>
        <v>200</v>
      </c>
      <c r="D22">
        <f>-(D9-D2)*F2</f>
        <v>-100</v>
      </c>
      <c r="E22">
        <f>(C2-D2)*(F9-F2)</f>
        <v>25</v>
      </c>
      <c r="F22">
        <f>((C9-C2)-(D9-D2))*(F9-F2)</f>
        <v>25</v>
      </c>
      <c r="G22">
        <f>SUM(C22:F22)</f>
        <v>150</v>
      </c>
    </row>
    <row r="23" spans="1:11" x14ac:dyDescent="0.3">
      <c r="B23" t="s">
        <v>11</v>
      </c>
      <c r="C23">
        <f>(C10-C3)*F3</f>
        <v>-60</v>
      </c>
      <c r="D23">
        <f>-(D10-D3)*F3</f>
        <v>150</v>
      </c>
      <c r="E23">
        <f>(C3-D3)*(F10-F3)</f>
        <v>-50</v>
      </c>
      <c r="F23">
        <f>((C10-C3)-(D10-D3))*(F10-F3)</f>
        <v>-30</v>
      </c>
      <c r="G23">
        <f t="shared" ref="G23:G24" si="7">SUM(C23:F23)</f>
        <v>10</v>
      </c>
    </row>
    <row r="24" spans="1:11" x14ac:dyDescent="0.3">
      <c r="B24" t="s">
        <v>12</v>
      </c>
      <c r="C24">
        <f>(C11-C4)*F4</f>
        <v>-125</v>
      </c>
      <c r="D24">
        <f>-(D11-D4)*F4</f>
        <v>125</v>
      </c>
      <c r="E24">
        <f>(C4-D4)*(F11-F4)</f>
        <v>200</v>
      </c>
      <c r="F24">
        <f>((C11-C4)-(D11-D4))*(F11-F4)</f>
        <v>0</v>
      </c>
      <c r="G24">
        <f t="shared" si="7"/>
        <v>200</v>
      </c>
    </row>
    <row r="25" spans="1:11" x14ac:dyDescent="0.3">
      <c r="B25" s="7" t="s">
        <v>13</v>
      </c>
      <c r="C25" s="7">
        <f>SUM(C22:C24)</f>
        <v>15</v>
      </c>
      <c r="D25" s="7">
        <f>SUM(D22:D24)</f>
        <v>175</v>
      </c>
      <c r="E25" s="7">
        <f>SUM(E22:E24)</f>
        <v>175</v>
      </c>
      <c r="F25" s="7">
        <f>SUM(F22:F24)</f>
        <v>-5</v>
      </c>
      <c r="G25" s="7">
        <f>SUM(G22:G24)</f>
        <v>360</v>
      </c>
    </row>
    <row r="27" spans="1:11" ht="72" x14ac:dyDescent="0.3">
      <c r="B27" t="s">
        <v>24</v>
      </c>
      <c r="C27" s="3" t="s">
        <v>25</v>
      </c>
      <c r="D27" s="3" t="s">
        <v>26</v>
      </c>
      <c r="E27" s="3" t="s">
        <v>27</v>
      </c>
      <c r="F27" s="3" t="s">
        <v>28</v>
      </c>
      <c r="G27" s="3" t="s">
        <v>29</v>
      </c>
    </row>
    <row r="28" spans="1:11" x14ac:dyDescent="0.3">
      <c r="B28">
        <f>I5</f>
        <v>750</v>
      </c>
      <c r="C28">
        <f>C25</f>
        <v>15</v>
      </c>
      <c r="D28">
        <f>D25</f>
        <v>175</v>
      </c>
      <c r="E28">
        <f>E25</f>
        <v>175</v>
      </c>
      <c r="F28">
        <f>F25</f>
        <v>-5</v>
      </c>
      <c r="G28">
        <f>B28+C28+D28+E28+F28</f>
        <v>1110</v>
      </c>
    </row>
    <row r="31" spans="1:11" ht="57.6" x14ac:dyDescent="0.3">
      <c r="A31" t="s">
        <v>30</v>
      </c>
      <c r="B31" t="s">
        <v>1</v>
      </c>
      <c r="C31" t="s">
        <v>31</v>
      </c>
      <c r="D31" t="s">
        <v>32</v>
      </c>
      <c r="E31" t="s">
        <v>33</v>
      </c>
      <c r="F31" t="s">
        <v>23</v>
      </c>
      <c r="H31" s="6" t="s">
        <v>37</v>
      </c>
      <c r="I31" s="6" t="s">
        <v>38</v>
      </c>
      <c r="J31" s="6" t="s">
        <v>39</v>
      </c>
      <c r="K31" s="4"/>
    </row>
    <row r="32" spans="1:11" x14ac:dyDescent="0.3">
      <c r="B32" t="s">
        <v>10</v>
      </c>
      <c r="C32">
        <f>($F$12*G2-F2)*E2</f>
        <v>6.6666666666666607</v>
      </c>
      <c r="D32">
        <f>(F9-$F$12*G2)*E2</f>
        <v>18.333333333333339</v>
      </c>
      <c r="E32">
        <f>(E9-E2)*F9</f>
        <v>125</v>
      </c>
      <c r="F32">
        <f>SUM(C32:E32)</f>
        <v>150</v>
      </c>
      <c r="H32" s="5">
        <f>(F9-$F$12*G2)*(E2-$E$5)</f>
        <v>-18.333333333333339</v>
      </c>
      <c r="I32" s="5">
        <f>(F9-$F$12*G2)*(J2-$J$5)*C2</f>
        <v>-3.2352941176470607</v>
      </c>
      <c r="J32" s="5">
        <f>(F9-$F$12*G2)*(C2-$C$5)*$J$5</f>
        <v>-15.098039215686279</v>
      </c>
      <c r="K32" s="4"/>
    </row>
    <row r="33" spans="2:11" x14ac:dyDescent="0.3">
      <c r="B33" t="s">
        <v>11</v>
      </c>
      <c r="C33">
        <f>($F$12*G3-F3)*E3</f>
        <v>10</v>
      </c>
      <c r="D33">
        <f>(F10-$F$12*G3)*E3</f>
        <v>-60</v>
      </c>
      <c r="E33">
        <f>(E10-E3)*F10</f>
        <v>60</v>
      </c>
      <c r="F33">
        <f t="shared" ref="F33:F34" si="8">SUM(C33:E33)</f>
        <v>10</v>
      </c>
      <c r="H33" s="5">
        <f t="shared" ref="H33:H34" si="9">(F10-$F$12*G3)*(E3-$E$5)</f>
        <v>60</v>
      </c>
      <c r="I33" s="5">
        <f t="shared" ref="I33:I34" si="10">(F10-$F$12*G3)*(J3-$J$5)*C3</f>
        <v>45.882352941176478</v>
      </c>
      <c r="J33" s="5">
        <f t="shared" ref="J33:J34" si="11">(F10-$F$12*G3)*(C3-$C$5)*$J$5</f>
        <v>14.117647058823529</v>
      </c>
      <c r="K33" s="4"/>
    </row>
    <row r="34" spans="2:11" x14ac:dyDescent="0.3">
      <c r="B34" t="s">
        <v>12</v>
      </c>
      <c r="C34">
        <f>($F$12*G4-F4)*E4</f>
        <v>33.333333333333286</v>
      </c>
      <c r="D34">
        <f>(F11-$F$12*G4)*E4</f>
        <v>166.66666666666671</v>
      </c>
      <c r="E34">
        <f>(E11-E4)*F11</f>
        <v>0</v>
      </c>
      <c r="F34">
        <f t="shared" si="8"/>
        <v>200</v>
      </c>
      <c r="H34" s="5">
        <f t="shared" si="9"/>
        <v>83.333333333333357</v>
      </c>
      <c r="I34" s="5">
        <f t="shared" si="10"/>
        <v>44.117647058823543</v>
      </c>
      <c r="J34" s="5">
        <f t="shared" si="11"/>
        <v>39.215686274509814</v>
      </c>
      <c r="K34" s="4"/>
    </row>
    <row r="35" spans="2:11" x14ac:dyDescent="0.3">
      <c r="B35" t="s">
        <v>13</v>
      </c>
      <c r="C35">
        <f>SUM(C32:C34)</f>
        <v>49.999999999999943</v>
      </c>
      <c r="D35">
        <f>SUM(D32:D34)</f>
        <v>125.00000000000006</v>
      </c>
      <c r="E35">
        <f>SUM(E32:E34)</f>
        <v>185</v>
      </c>
      <c r="F35">
        <f t="shared" ref="F35" si="12">SUM(F32:F34)</f>
        <v>360</v>
      </c>
      <c r="H35" s="5">
        <f>SUM(H32:H34)</f>
        <v>125.00000000000001</v>
      </c>
      <c r="I35" s="5">
        <f>SUM(I32:I34)</f>
        <v>86.764705882352956</v>
      </c>
      <c r="J35" s="5">
        <f>SUM(J32:J34)</f>
        <v>38.235294117647065</v>
      </c>
      <c r="K35" s="4"/>
    </row>
    <row r="37" spans="2:11" ht="57.6" x14ac:dyDescent="0.3">
      <c r="B37" t="s">
        <v>24</v>
      </c>
      <c r="C37" s="3" t="s">
        <v>34</v>
      </c>
      <c r="D37" s="3" t="s">
        <v>35</v>
      </c>
      <c r="E37" s="3" t="s">
        <v>36</v>
      </c>
      <c r="F37" s="3" t="s">
        <v>29</v>
      </c>
    </row>
    <row r="38" spans="2:11" x14ac:dyDescent="0.3">
      <c r="B38">
        <f>I5</f>
        <v>750</v>
      </c>
      <c r="C38">
        <f>C35</f>
        <v>49.999999999999943</v>
      </c>
      <c r="D38">
        <f t="shared" ref="D38:E38" si="13">D35</f>
        <v>125.00000000000006</v>
      </c>
      <c r="E38">
        <f t="shared" si="13"/>
        <v>185</v>
      </c>
      <c r="F38">
        <f>B38+C38+D38+E38</f>
        <v>1110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Xue Bin (DI MC FIN PC 2)</dc:creator>
  <cp:keywords/>
  <dc:description/>
  <cp:lastModifiedBy>Chen, Xue Bin (DI MC FIN PC 2)</cp:lastModifiedBy>
  <cp:revision/>
  <dcterms:created xsi:type="dcterms:W3CDTF">2025-11-03T14:51:00Z</dcterms:created>
  <dcterms:modified xsi:type="dcterms:W3CDTF">2026-01-12T17:22:29Z</dcterms:modified>
  <cp:category/>
  <cp:contentStatus/>
</cp:coreProperties>
</file>